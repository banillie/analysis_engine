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vbaProject.bin" ContentType="application/vnd.ms-office.vbaProject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customXml/item3.xml" ContentType="application/xml"/>
  <Override PartName="/customXml/_rels/item1.xml.rels" ContentType="application/vnd.openxmlformats-package.relationships+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customXml/item2.xml" ContentType="application/xml"/>
  <Override PartName="/customXml/item1.xml" ContentType="application/xml"/>
  <Override PartName="/customXml/itemProps2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3"/>
  </sheets>
  <definedNames>
    <definedName function="false" hidden="false" localSheetId="0" name="_xlnm.Print_Area" vbProcedure="false">Table!$H$1:$I$40</definedName>
    <definedName function="false" hidden="false" localSheetId="0" name="_xlnm.Print_Titles" vbProcedure="false">Table!$2:$2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<sst xmlns="http://schemas.openxmlformats.org/spreadsheetml/2006/main" count="97" uniqueCount="65">
  <si>
    <t xml:space="preserve">ID</t>
  </si>
  <si>
    <t xml:space="preserve">Parent</t>
  </si>
  <si>
    <t xml:space="preserve">Angle</t>
  </si>
  <si>
    <t xml:space="preserve">Distance</t>
  </si>
  <si>
    <t xml:space="preserve">X</t>
  </si>
  <si>
    <t xml:space="preserve">Y</t>
  </si>
  <si>
    <t xml:space="preserve">Group</t>
  </si>
  <si>
    <t xml:space="preserve">Project Name</t>
  </si>
  <si>
    <t xml:space="preserve">Whole Life Cost Budget (£m)</t>
  </si>
  <si>
    <t xml:space="preserve">ABS WLC</t>
  </si>
  <si>
    <t xml:space="preserve">WLC(500m min)</t>
  </si>
  <si>
    <t xml:space="preserve">Rating</t>
  </si>
  <si>
    <t xml:space="preserve">Sqrt(WLC_500m min)</t>
  </si>
  <si>
    <t xml:space="preserve">Portfolio</t>
  </si>
  <si>
    <t xml:space="preserve">99 Problems</t>
  </si>
  <si>
    <t xml:space="preserve">BSAM</t>
  </si>
  <si>
    <t xml:space="preserve">1 Problem</t>
  </si>
  <si>
    <t xml:space="preserve">R</t>
  </si>
  <si>
    <t xml:space="preserve">RPE</t>
  </si>
  <si>
    <t xml:space="preserve">2 Problems</t>
  </si>
  <si>
    <t xml:space="preserve">AR</t>
  </si>
  <si>
    <t xml:space="preserve">Rail Group</t>
  </si>
  <si>
    <t xml:space="preserve">3 Problems</t>
  </si>
  <si>
    <t xml:space="preserve">AG</t>
  </si>
  <si>
    <t xml:space="preserve">Passenger Services</t>
  </si>
  <si>
    <t xml:space="preserve">4 Problems</t>
  </si>
  <si>
    <t xml:space="preserve">G</t>
  </si>
  <si>
    <t xml:space="preserve">HSMRPG</t>
  </si>
  <si>
    <t xml:space="preserve">5 Problems</t>
  </si>
  <si>
    <t xml:space="preserve">6 Problems</t>
  </si>
  <si>
    <t xml:space="preserve">7 Problems</t>
  </si>
  <si>
    <t xml:space="preserve">8 Problems</t>
  </si>
  <si>
    <t xml:space="preserve">9 Problems</t>
  </si>
  <si>
    <t xml:space="preserve">10 Problems</t>
  </si>
  <si>
    <t xml:space="preserve">11 Problems</t>
  </si>
  <si>
    <t xml:space="preserve">12 Problems</t>
  </si>
  <si>
    <t xml:space="preserve">13 Problems</t>
  </si>
  <si>
    <t xml:space="preserve">AMIS</t>
  </si>
  <si>
    <t xml:space="preserve">14 Problems</t>
  </si>
  <si>
    <t xml:space="preserve">15 Problems</t>
  </si>
  <si>
    <t xml:space="preserve">16 Problems</t>
  </si>
  <si>
    <t xml:space="preserve">17 Problems</t>
  </si>
  <si>
    <t xml:space="preserve">18 Problems</t>
  </si>
  <si>
    <t xml:space="preserve">19 Problems</t>
  </si>
  <si>
    <t xml:space="preserve">20 Problems</t>
  </si>
  <si>
    <t xml:space="preserve">21 Problems</t>
  </si>
  <si>
    <t xml:space="preserve">22 Problems</t>
  </si>
  <si>
    <t xml:space="preserve">23 Problems</t>
  </si>
  <si>
    <t xml:space="preserve">24 Problems</t>
  </si>
  <si>
    <t xml:space="preserve">25 Problems</t>
  </si>
  <si>
    <t xml:space="preserve">26 Problems</t>
  </si>
  <si>
    <t xml:space="preserve">27 Problems</t>
  </si>
  <si>
    <t xml:space="preserve">28 Problems</t>
  </si>
  <si>
    <t xml:space="preserve">Roads Places and Environment Group</t>
  </si>
  <si>
    <t xml:space="preserve">29 Problems</t>
  </si>
  <si>
    <t xml:space="preserve">30 Problems</t>
  </si>
  <si>
    <t xml:space="preserve">31 Problems</t>
  </si>
  <si>
    <t xml:space="preserve">32 Problems</t>
  </si>
  <si>
    <t xml:space="preserve">33 Problems</t>
  </si>
  <si>
    <t xml:space="preserve">34 Problems</t>
  </si>
  <si>
    <t xml:space="preserve">35 Problems</t>
  </si>
  <si>
    <t xml:space="preserve">36 Problems</t>
  </si>
  <si>
    <t xml:space="preserve">37 Problems</t>
  </si>
  <si>
    <t xml:space="preserve">38 Problems</t>
  </si>
  <si>
    <t xml:space="preserve">39 Problems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</si>
</sst>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_-\£* #,##0.00_-;&quot;-£&quot;* #,##0.00_-;_-\£* \-??_-;_-@_-"/>
    <numFmt numFmtId="166" formatCode="General"/>
    <numFmt numFmtId="167" formatCode="0.0,&quot;bn&quot;"/>
  </numFmts>
  <fonts count="13">
    <font>
      <sz val="12"/>
      <color rgb="FF00000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name val="Calibri"/>
      <family val="2"/>
      <charset val="1"/>
    </font>
    <font>
      <b val="true"/>
      <sz val="20"/>
      <color rgb="FF409889"/>
      <name val="Arial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2"/>
      <name val="Calibri"/>
      <family val="2"/>
      <charset val="1"/>
    </font>
    <font>
      <sz val="12"/>
      <name val="Arial"/>
      <family val="2"/>
      <charset val="1"/>
    </font>
    <font>
      <sz val="12"/>
      <color rgb="FFFF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DEEBF7"/>
        <bgColor rgb="FFCC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9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6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8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3" xfId="21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409889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B42"/>
  <sheetViews>
    <sheetView showFormulas="false" showGridLines="true" showRowColHeaders="true" showZeros="true" rightToLeft="false" tabSelected="true" showOutlineSymbols="true" defaultGridColor="true" view="normal" topLeftCell="A1" colorId="64" zoomScale="52" zoomScaleNormal="52" zoomScalePageLayoutView="100" workbookViewId="0">
      <selection pane="topLeft" activeCell="F11" activeCellId="0" sqref="F11"/>
    </sheetView>
  </sheetViews>
  <sheetFormatPr defaultColWidth="16.39453125" defaultRowHeight="15.6" zeroHeight="false" outlineLevelRow="0" outlineLevelCol="0"/>
  <cols>
    <col collapsed="false" customWidth="false" hidden="false" outlineLevel="0" max="6" min="1" style="1" width="16.36"/>
    <col collapsed="false" customWidth="true" hidden="false" outlineLevel="0" max="7" min="7" style="1" width="25.82"/>
    <col collapsed="false" customWidth="true" hidden="false" outlineLevel="0" max="8" min="8" style="1" width="48.55"/>
    <col collapsed="false" customWidth="true" hidden="false" outlineLevel="0" max="9" min="9" style="2" width="16.17"/>
    <col collapsed="false" customWidth="false" hidden="false" outlineLevel="0" max="11" min="10" style="3" width="16.36"/>
    <col collapsed="false" customWidth="false" hidden="false" outlineLevel="0" max="1024" min="12" style="1" width="16.36"/>
  </cols>
  <sheetData>
    <row r="1" customFormat="false" ht="24" hidden="false" customHeight="true" outlineLevel="0" collapsed="false">
      <c r="H1" s="4"/>
      <c r="I1" s="4"/>
    </row>
    <row r="2" s="10" customFormat="true" ht="69" hidden="false" customHeight="true" outlineLevel="0" collapsed="false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6" t="s">
        <v>7</v>
      </c>
      <c r="I2" s="7" t="s">
        <v>8</v>
      </c>
      <c r="J2" s="8" t="s">
        <v>9</v>
      </c>
      <c r="K2" s="8" t="s">
        <v>10</v>
      </c>
      <c r="L2" s="6" t="s">
        <v>11</v>
      </c>
      <c r="M2" s="6" t="s">
        <v>12</v>
      </c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</row>
    <row r="3" s="12" customFormat="true" ht="24" hidden="false" customHeight="true" outlineLevel="0" collapsed="false">
      <c r="A3" s="1" t="n">
        <v>1</v>
      </c>
      <c r="B3" s="1"/>
      <c r="C3" s="1" t="n">
        <v>0</v>
      </c>
      <c r="D3" s="1" t="n">
        <v>0</v>
      </c>
      <c r="E3" s="1" t="n">
        <v>515</v>
      </c>
      <c r="F3" s="1" t="n">
        <v>450</v>
      </c>
      <c r="G3" s="11" t="s">
        <v>13</v>
      </c>
      <c r="H3" s="12" t="s">
        <v>14</v>
      </c>
      <c r="I3" s="12" t="n">
        <f aca="false">SUM(I4:I8)</f>
        <v>207756</v>
      </c>
      <c r="J3" s="13" t="n">
        <f aca="false">ABS(I3)</f>
        <v>207756</v>
      </c>
      <c r="K3" s="14" t="n">
        <f aca="false">MAX(J3,500)</f>
        <v>207756</v>
      </c>
      <c r="M3" s="12" t="n">
        <f aca="false">SQRT(K3)</f>
        <v>455.802588847409</v>
      </c>
      <c r="N3" s="15" t="n">
        <v>207756</v>
      </c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</row>
    <row r="4" s="12" customFormat="true" ht="24" hidden="false" customHeight="true" outlineLevel="0" collapsed="false">
      <c r="A4" s="1" t="n">
        <v>2</v>
      </c>
      <c r="B4" s="1" t="n">
        <v>1</v>
      </c>
      <c r="C4" s="1" t="n">
        <v>340</v>
      </c>
      <c r="D4" s="1" t="n">
        <v>80</v>
      </c>
      <c r="E4" s="1" t="n">
        <f aca="false">VLOOKUP(B4,$A$3:$F$8,5,0)+D4*COS(RADIANS(C4))</f>
        <v>590.175409662873</v>
      </c>
      <c r="F4" s="1" t="n">
        <f aca="false">VLOOKUP(B4,$A$3:$F$8,6,0)+D4*(SIN(RADIANS(C4)))</f>
        <v>422.638388533946</v>
      </c>
      <c r="G4" s="17" t="s">
        <v>15</v>
      </c>
      <c r="H4" s="12" t="s">
        <v>16</v>
      </c>
      <c r="I4" s="12" t="n">
        <f aca="false">I17</f>
        <v>2722</v>
      </c>
      <c r="J4" s="14" t="n">
        <f aca="false">ABS(I4)</f>
        <v>2722</v>
      </c>
      <c r="K4" s="14" t="n">
        <f aca="false">MAX(J4,500)</f>
        <v>2722</v>
      </c>
      <c r="M4" s="12" t="n">
        <f aca="false">SQRT(K4)</f>
        <v>52.1727898429823</v>
      </c>
      <c r="N4" s="15" t="n">
        <v>2722</v>
      </c>
      <c r="O4" s="16"/>
      <c r="P4" s="16"/>
      <c r="Q4" s="16"/>
      <c r="R4" s="16" t="s">
        <v>17</v>
      </c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</row>
    <row r="5" s="12" customFormat="true" ht="24" hidden="false" customHeight="true" outlineLevel="0" collapsed="false">
      <c r="A5" s="1" t="n">
        <v>3</v>
      </c>
      <c r="B5" s="1" t="n">
        <v>1</v>
      </c>
      <c r="C5" s="1" t="n">
        <v>35</v>
      </c>
      <c r="D5" s="1" t="n">
        <v>120</v>
      </c>
      <c r="E5" s="1" t="n">
        <f aca="false">VLOOKUP(B5,$A$3:$F$8,5,0)+D5*COS(RADIANS(C5))</f>
        <v>613.298245314679</v>
      </c>
      <c r="F5" s="1" t="n">
        <f aca="false">VLOOKUP(B5,$A$3:$F$8,6,0)+D5*(SIN(RADIANS(C5)))</f>
        <v>518.829172362126</v>
      </c>
      <c r="G5" s="17" t="s">
        <v>18</v>
      </c>
      <c r="H5" s="12" t="s">
        <v>19</v>
      </c>
      <c r="I5" s="12" t="n">
        <f aca="false">SUM(I32:I42)</f>
        <v>15328</v>
      </c>
      <c r="J5" s="14" t="n">
        <f aca="false">ABS(I5)</f>
        <v>15328</v>
      </c>
      <c r="K5" s="14" t="n">
        <f aca="false">MAX(J5,500)</f>
        <v>15328</v>
      </c>
      <c r="M5" s="12" t="n">
        <f aca="false">SQRT(K5)</f>
        <v>123.806300324337</v>
      </c>
      <c r="N5" s="15" t="n">
        <v>15328</v>
      </c>
      <c r="O5" s="16"/>
      <c r="P5" s="16"/>
      <c r="Q5" s="16"/>
      <c r="R5" s="16" t="s">
        <v>20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</row>
    <row r="6" s="12" customFormat="true" ht="24" hidden="false" customHeight="true" outlineLevel="0" collapsed="false">
      <c r="A6" s="1" t="n">
        <v>4</v>
      </c>
      <c r="B6" s="1" t="n">
        <v>1</v>
      </c>
      <c r="C6" s="1" t="n">
        <v>130</v>
      </c>
      <c r="D6" s="1" t="n">
        <v>130</v>
      </c>
      <c r="E6" s="1" t="n">
        <f aca="false">VLOOKUP(B6,$A$3:$F$8,5,0)+D6*COS(RADIANS(C6))</f>
        <v>431.43761074075</v>
      </c>
      <c r="F6" s="1" t="n">
        <f aca="false">VLOOKUP(B6,$A$3:$F$8,6,0)+D6*(SIN(RADIANS(C6)))</f>
        <v>549.585777605467</v>
      </c>
      <c r="G6" s="12" t="s">
        <v>21</v>
      </c>
      <c r="H6" s="12" t="s">
        <v>22</v>
      </c>
      <c r="I6" s="12" t="n">
        <f aca="false">SUM(I19:I31)</f>
        <v>55391</v>
      </c>
      <c r="J6" s="14" t="n">
        <f aca="false">ABS(I6)</f>
        <v>55391</v>
      </c>
      <c r="K6" s="14" t="n">
        <f aca="false">MAX(J6,500)</f>
        <v>55391</v>
      </c>
      <c r="M6" s="12" t="n">
        <f aca="false">SQRT(K6)</f>
        <v>235.352926474263</v>
      </c>
      <c r="N6" s="15" t="n">
        <v>55391</v>
      </c>
      <c r="O6" s="16"/>
      <c r="P6" s="16"/>
      <c r="Q6" s="16"/>
      <c r="R6" s="16" t="s">
        <v>23</v>
      </c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</row>
    <row r="7" s="12" customFormat="true" ht="24" hidden="false" customHeight="true" outlineLevel="0" collapsed="false">
      <c r="A7" s="1" t="n">
        <v>5</v>
      </c>
      <c r="B7" s="1" t="n">
        <v>1</v>
      </c>
      <c r="C7" s="1" t="n">
        <v>85</v>
      </c>
      <c r="D7" s="1" t="n">
        <v>130</v>
      </c>
      <c r="E7" s="1" t="n">
        <f aca="false">VLOOKUP(B7,$A$3:$F$8,5,0)+D7*COS(RADIANS(C7))</f>
        <v>526.330246557196</v>
      </c>
      <c r="F7" s="1" t="n">
        <f aca="false">VLOOKUP(B7,$A$3:$F$8,6,0)+D7*(SIN(RADIANS(C7)))</f>
        <v>579.505310751927</v>
      </c>
      <c r="G7" s="12" t="s">
        <v>24</v>
      </c>
      <c r="H7" s="12" t="s">
        <v>25</v>
      </c>
      <c r="I7" s="12" t="n">
        <f aca="false">SUM(I18)</f>
        <v>15447</v>
      </c>
      <c r="J7" s="14" t="n">
        <f aca="false">ABS(I7)</f>
        <v>15447</v>
      </c>
      <c r="K7" s="14" t="n">
        <f aca="false">MAX(J7,500)</f>
        <v>15447</v>
      </c>
      <c r="M7" s="12" t="n">
        <f aca="false">SQRT(K7)</f>
        <v>124.285960590889</v>
      </c>
      <c r="N7" s="15" t="n">
        <v>15447</v>
      </c>
      <c r="O7" s="16"/>
      <c r="P7" s="16"/>
      <c r="Q7" s="16"/>
      <c r="R7" s="16" t="s">
        <v>26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</row>
    <row r="8" s="12" customFormat="true" ht="24" hidden="false" customHeight="true" outlineLevel="0" collapsed="false">
      <c r="A8" s="1" t="n">
        <v>6</v>
      </c>
      <c r="B8" s="1" t="n">
        <v>1</v>
      </c>
      <c r="C8" s="1" t="n">
        <v>210</v>
      </c>
      <c r="D8" s="1" t="n">
        <v>120</v>
      </c>
      <c r="E8" s="1" t="n">
        <f aca="false">VLOOKUP(B8,$A$3:$F$8,5,0)+D8*COS(RADIANS(C8))</f>
        <v>411.076951545867</v>
      </c>
      <c r="F8" s="1" t="n">
        <f aca="false">VLOOKUP(B8,$A$3:$F$8,6,0)+D8*(SIN(RADIANS(C8)))</f>
        <v>390</v>
      </c>
      <c r="G8" s="12" t="s">
        <v>27</v>
      </c>
      <c r="H8" s="12" t="s">
        <v>28</v>
      </c>
      <c r="I8" s="12" t="n">
        <f aca="false">SUM(I9:I16)</f>
        <v>118868</v>
      </c>
      <c r="J8" s="14" t="n">
        <f aca="false">ABS(I8)</f>
        <v>118868</v>
      </c>
      <c r="K8" s="14" t="n">
        <f aca="false">MAX(J8,500)</f>
        <v>118868</v>
      </c>
      <c r="M8" s="12" t="n">
        <f aca="false">SQRT(K8)</f>
        <v>344.772388685637</v>
      </c>
      <c r="N8" s="15" t="n">
        <v>118868</v>
      </c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</row>
    <row r="9" customFormat="false" ht="24" hidden="false" customHeight="true" outlineLevel="0" collapsed="false">
      <c r="A9" s="1" t="n">
        <v>7</v>
      </c>
      <c r="B9" s="1" t="n">
        <v>6</v>
      </c>
      <c r="C9" s="1" t="n">
        <v>70</v>
      </c>
      <c r="D9" s="1" t="n">
        <v>50</v>
      </c>
      <c r="E9" s="1" t="n">
        <f aca="false">VLOOKUP(B9,$A$3:$F$8,5,0)+D9*COS(RADIANS(C9))</f>
        <v>428.177958712151</v>
      </c>
      <c r="F9" s="1" t="n">
        <f aca="false">VLOOKUP(B9,$A$3:$F$8,6,0)+D9*(SIN(RADIANS(C9)))</f>
        <v>436.984631039296</v>
      </c>
      <c r="G9" s="1" t="s">
        <v>27</v>
      </c>
      <c r="H9" s="12" t="s">
        <v>29</v>
      </c>
      <c r="I9" s="2" t="n">
        <v>40295</v>
      </c>
      <c r="J9" s="14" t="n">
        <f aca="false">ABS(I9)</f>
        <v>40295</v>
      </c>
      <c r="K9" s="14" t="n">
        <f aca="false">MAX(J9,500)</f>
        <v>40295</v>
      </c>
      <c r="L9" s="12"/>
      <c r="M9" s="1" t="n">
        <f aca="false">SQRT(K9)</f>
        <v>200.736145225517</v>
      </c>
      <c r="N9" s="16"/>
      <c r="O9" s="16"/>
      <c r="P9" s="16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</row>
    <row r="10" customFormat="false" ht="24" hidden="false" customHeight="true" outlineLevel="0" collapsed="false">
      <c r="A10" s="1" t="n">
        <v>8</v>
      </c>
      <c r="B10" s="1" t="n">
        <v>6</v>
      </c>
      <c r="C10" s="1" t="n">
        <v>115</v>
      </c>
      <c r="D10" s="1" t="n">
        <v>50</v>
      </c>
      <c r="E10" s="1" t="n">
        <f aca="false">VLOOKUP(B10,$A$3:$F$8,5,0)+D10*COS(RADIANS(C10))</f>
        <v>389.946038458832</v>
      </c>
      <c r="F10" s="1" t="n">
        <f aca="false">VLOOKUP(B10,$A$3:$F$8,6,0)+D10*(SIN(RADIANS(C10)))</f>
        <v>435.315389351833</v>
      </c>
      <c r="G10" s="1" t="s">
        <v>27</v>
      </c>
      <c r="H10" s="12" t="s">
        <v>30</v>
      </c>
      <c r="I10" s="2" t="n">
        <v>38979</v>
      </c>
      <c r="J10" s="14" t="n">
        <f aca="false">ABS(I10)</f>
        <v>38979</v>
      </c>
      <c r="K10" s="14" t="n">
        <f aca="false">MAX(J10,500)</f>
        <v>38979</v>
      </c>
      <c r="L10" s="12"/>
      <c r="M10" s="1" t="n">
        <f aca="false">SQRT(K10)</f>
        <v>197.431000605275</v>
      </c>
      <c r="N10" s="16"/>
      <c r="O10" s="16"/>
      <c r="P10" s="16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</row>
    <row r="11" customFormat="false" ht="24" hidden="false" customHeight="true" outlineLevel="0" collapsed="false">
      <c r="A11" s="1" t="n">
        <v>9</v>
      </c>
      <c r="B11" s="1" t="n">
        <v>6</v>
      </c>
      <c r="C11" s="1" t="n">
        <v>160</v>
      </c>
      <c r="D11" s="1" t="n">
        <v>50</v>
      </c>
      <c r="E11" s="1" t="n">
        <f aca="false">VLOOKUP(B11,$A$3:$F$8,5,0)+D11*COS(RADIANS(C11))</f>
        <v>364.092320506572</v>
      </c>
      <c r="F11" s="1" t="n">
        <f aca="false">VLOOKUP(B11,$A$3:$F$8,6,0)+D11*(SIN(RADIANS(C11)))</f>
        <v>407.101007166284</v>
      </c>
      <c r="G11" s="1" t="s">
        <v>27</v>
      </c>
      <c r="H11" s="12" t="s">
        <v>31</v>
      </c>
      <c r="I11" s="2" t="n">
        <v>28422</v>
      </c>
      <c r="J11" s="14" t="n">
        <f aca="false">ABS(I11)</f>
        <v>28422</v>
      </c>
      <c r="K11" s="14" t="n">
        <f aca="false">MAX(J11,500)</f>
        <v>28422</v>
      </c>
      <c r="L11" s="12"/>
      <c r="M11" s="1" t="n">
        <f aca="false">SQRT(K11)</f>
        <v>168.588255818725</v>
      </c>
      <c r="N11" s="16"/>
      <c r="O11" s="16"/>
      <c r="P11" s="16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</row>
    <row r="12" customFormat="false" ht="24" hidden="false" customHeight="true" outlineLevel="0" collapsed="false">
      <c r="A12" s="1" t="n">
        <v>10</v>
      </c>
      <c r="B12" s="1" t="n">
        <v>6</v>
      </c>
      <c r="C12" s="1" t="n">
        <v>205</v>
      </c>
      <c r="D12" s="1" t="n">
        <v>50</v>
      </c>
      <c r="E12" s="1" t="n">
        <f aca="false">VLOOKUP(B12,$A$3:$F$8,5,0)+D12*COS(RADIANS(C12))</f>
        <v>365.761562194035</v>
      </c>
      <c r="F12" s="1" t="n">
        <f aca="false">VLOOKUP(B12,$A$3:$F$8,6,0)+D12*(SIN(RADIANS(C12)))</f>
        <v>368.869086912965</v>
      </c>
      <c r="G12" s="1" t="s">
        <v>27</v>
      </c>
      <c r="H12" s="12" t="s">
        <v>32</v>
      </c>
      <c r="I12" s="2" t="n">
        <v>6156</v>
      </c>
      <c r="J12" s="14" t="n">
        <f aca="false">ABS(I12)</f>
        <v>6156</v>
      </c>
      <c r="K12" s="14" t="n">
        <f aca="false">MAX(J12,500)</f>
        <v>6156</v>
      </c>
      <c r="L12" s="12"/>
      <c r="M12" s="1" t="n">
        <f aca="false">SQRT(K12)</f>
        <v>78.4601809837321</v>
      </c>
      <c r="N12" s="16"/>
      <c r="O12" s="16"/>
      <c r="P12" s="16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</row>
    <row r="13" customFormat="false" ht="24" hidden="false" customHeight="true" outlineLevel="0" collapsed="false">
      <c r="A13" s="1" t="n">
        <v>11</v>
      </c>
      <c r="B13" s="1" t="n">
        <v>6</v>
      </c>
      <c r="C13" s="1" t="n">
        <v>250</v>
      </c>
      <c r="D13" s="1" t="n">
        <v>50</v>
      </c>
      <c r="E13" s="1" t="n">
        <f aca="false">VLOOKUP(B13,$A$3:$F$8,5,0)+D13*COS(RADIANS(C13))</f>
        <v>393.975944379584</v>
      </c>
      <c r="F13" s="1" t="n">
        <f aca="false">VLOOKUP(B13,$A$3:$F$8,6,0)+D13*(SIN(RADIANS(C13)))</f>
        <v>343.015368960705</v>
      </c>
      <c r="G13" s="1" t="s">
        <v>27</v>
      </c>
      <c r="H13" s="12" t="s">
        <v>33</v>
      </c>
      <c r="I13" s="2" t="n">
        <v>2975</v>
      </c>
      <c r="J13" s="14" t="n">
        <f aca="false">ABS(I13)</f>
        <v>2975</v>
      </c>
      <c r="K13" s="14" t="n">
        <f aca="false">MAX(J13,500)</f>
        <v>2975</v>
      </c>
      <c r="L13" s="12"/>
      <c r="M13" s="1" t="n">
        <f aca="false">SQRT(K13)</f>
        <v>54.5435605731786</v>
      </c>
      <c r="N13" s="16"/>
      <c r="O13" s="16"/>
      <c r="P13" s="16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</row>
    <row r="14" customFormat="false" ht="24" hidden="false" customHeight="true" outlineLevel="0" collapsed="false">
      <c r="A14" s="1" t="n">
        <v>12</v>
      </c>
      <c r="B14" s="1" t="n">
        <v>6</v>
      </c>
      <c r="C14" s="1" t="n">
        <v>275</v>
      </c>
      <c r="D14" s="1" t="n">
        <v>50</v>
      </c>
      <c r="E14" s="1" t="n">
        <f aca="false">VLOOKUP(B14,$A$3:$F$8,5,0)+D14*COS(RADIANS(C14))</f>
        <v>415.43473868325</v>
      </c>
      <c r="F14" s="1" t="n">
        <f aca="false">VLOOKUP(B14,$A$3:$F$8,6,0)+D14*(SIN(RADIANS(C14)))</f>
        <v>340.190265095413</v>
      </c>
      <c r="G14" s="1" t="s">
        <v>27</v>
      </c>
      <c r="H14" s="12" t="s">
        <v>34</v>
      </c>
      <c r="I14" s="2" t="n">
        <v>940</v>
      </c>
      <c r="J14" s="14" t="n">
        <f aca="false">ABS(I14)</f>
        <v>940</v>
      </c>
      <c r="K14" s="14" t="n">
        <f aca="false">MAX(J14,500)</f>
        <v>940</v>
      </c>
      <c r="L14" s="12"/>
      <c r="M14" s="1" t="n">
        <f aca="false">SQRT(K14)</f>
        <v>30.6594194335118</v>
      </c>
      <c r="N14" s="16"/>
      <c r="O14" s="16"/>
      <c r="P14" s="16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</row>
    <row r="15" customFormat="false" ht="24" hidden="false" customHeight="true" outlineLevel="0" collapsed="false">
      <c r="A15" s="1" t="n">
        <v>13</v>
      </c>
      <c r="B15" s="1" t="n">
        <v>6</v>
      </c>
      <c r="C15" s="1" t="n">
        <v>295</v>
      </c>
      <c r="D15" s="1" t="n">
        <v>50</v>
      </c>
      <c r="E15" s="1" t="n">
        <f aca="false">VLOOKUP(B15,$A$3:$F$8,5,0)+D15*COS(RADIANS(C15))</f>
        <v>432.207864632902</v>
      </c>
      <c r="F15" s="1" t="n">
        <f aca="false">VLOOKUP(B15,$A$3:$F$8,6,0)+D15*(SIN(RADIANS(C15)))</f>
        <v>344.684610648167</v>
      </c>
      <c r="G15" s="1" t="s">
        <v>27</v>
      </c>
      <c r="H15" s="12" t="s">
        <v>35</v>
      </c>
      <c r="I15" s="2" t="n">
        <v>935</v>
      </c>
      <c r="J15" s="3" t="n">
        <f aca="false">ABS(I15)</f>
        <v>935</v>
      </c>
      <c r="K15" s="3" t="n">
        <f aca="false">MAX(J15,500)</f>
        <v>935</v>
      </c>
      <c r="L15" s="12"/>
      <c r="M15" s="1" t="n">
        <f aca="false">SQRT(K15)</f>
        <v>30.5777697028413</v>
      </c>
      <c r="N15" s="16"/>
      <c r="O15" s="16"/>
      <c r="P15" s="16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</row>
    <row r="16" customFormat="false" ht="24" hidden="false" customHeight="true" outlineLevel="0" collapsed="false">
      <c r="A16" s="1" t="n">
        <v>14</v>
      </c>
      <c r="B16" s="1" t="n">
        <v>6</v>
      </c>
      <c r="C16" s="1" t="n">
        <v>340</v>
      </c>
      <c r="D16" s="1" t="n">
        <v>50</v>
      </c>
      <c r="E16" s="1" t="n">
        <f aca="false">VLOOKUP(B16,$A$3:$F$8,5,0)+D16*COS(RADIANS(C16))</f>
        <v>458.061582585163</v>
      </c>
      <c r="F16" s="1" t="n">
        <f aca="false">VLOOKUP(B16,$A$3:$F$8,6,0)+D16*(SIN(RADIANS(C16)))</f>
        <v>372.898992833717</v>
      </c>
      <c r="G16" s="1" t="s">
        <v>27</v>
      </c>
      <c r="H16" s="12" t="s">
        <v>36</v>
      </c>
      <c r="I16" s="2" t="n">
        <v>166</v>
      </c>
      <c r="J16" s="3" t="n">
        <f aca="false">ABS(I16)</f>
        <v>166</v>
      </c>
      <c r="K16" s="3" t="n">
        <f aca="false">MAX(J16,500)</f>
        <v>500</v>
      </c>
      <c r="L16" s="12"/>
      <c r="M16" s="1" t="n">
        <f aca="false">SQRT(K16)</f>
        <v>22.3606797749979</v>
      </c>
      <c r="N16" s="16"/>
      <c r="O16" s="16"/>
      <c r="P16" s="16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</row>
    <row r="17" customFormat="false" ht="24" hidden="false" customHeight="true" outlineLevel="0" collapsed="false">
      <c r="A17" s="1" t="n">
        <v>15</v>
      </c>
      <c r="B17" s="1" t="n">
        <v>2</v>
      </c>
      <c r="C17" s="1" t="n">
        <v>170</v>
      </c>
      <c r="D17" s="1" t="n">
        <v>20</v>
      </c>
      <c r="E17" s="1" t="n">
        <f aca="false">VLOOKUP(B17,$A$3:$F$8,5,0)+D17*COS(RADIANS(180-C17+VLOOKUP(B17,$A$3:$F$40,3,0)))</f>
        <v>609.871564723117</v>
      </c>
      <c r="F17" s="1" t="n">
        <f aca="false">VLOOKUP(B17,$A$3:$F$8,6,0)+D17*(SIN(RADIANS(180-C17+VLOOKUP(B17,$A$3:$F$40,3,0))))</f>
        <v>419.165424980608</v>
      </c>
      <c r="G17" s="1" t="s">
        <v>37</v>
      </c>
      <c r="H17" s="12" t="s">
        <v>38</v>
      </c>
      <c r="I17" s="2" t="n">
        <v>2722</v>
      </c>
      <c r="J17" s="14" t="n">
        <f aca="false">ABS(I17)</f>
        <v>2722</v>
      </c>
      <c r="K17" s="14" t="n">
        <f aca="false">MAX(J17,500)</f>
        <v>2722</v>
      </c>
      <c r="L17" s="12"/>
      <c r="M17" s="1" t="n">
        <f aca="false">SQRT(K17)</f>
        <v>52.1727898429823</v>
      </c>
      <c r="N17" s="16"/>
      <c r="O17" s="16"/>
      <c r="P17" s="16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</row>
    <row r="18" customFormat="false" ht="24" hidden="false" customHeight="true" outlineLevel="0" collapsed="false">
      <c r="A18" s="1" t="n">
        <v>16</v>
      </c>
      <c r="B18" s="1" t="n">
        <v>5</v>
      </c>
      <c r="C18" s="1" t="n">
        <v>150</v>
      </c>
      <c r="D18" s="1" t="n">
        <v>50</v>
      </c>
      <c r="E18" s="1" t="n">
        <f aca="false">VLOOKUP(B18,$A$3:$F$8,5,0)+D18*COS(RADIANS(180-C18+VLOOKUP(B18,$A$3:$F$40,3,0)))</f>
        <v>505.199333470161</v>
      </c>
      <c r="F18" s="1" t="n">
        <f aca="false">VLOOKUP(B18,$A$3:$F$8,6,0)+D18*(SIN(RADIANS(180-C18+VLOOKUP(B18,$A$3:$F$40,3,0))))</f>
        <v>624.82070010376</v>
      </c>
      <c r="G18" s="1" t="s">
        <v>24</v>
      </c>
      <c r="H18" s="12" t="s">
        <v>39</v>
      </c>
      <c r="I18" s="2" t="n">
        <v>15447</v>
      </c>
      <c r="J18" s="14" t="n">
        <f aca="false">ABS(I18)</f>
        <v>15447</v>
      </c>
      <c r="K18" s="14" t="n">
        <f aca="false">MAX(J18,500)</f>
        <v>15447</v>
      </c>
      <c r="L18" s="12"/>
      <c r="M18" s="1" t="n">
        <f aca="false">SQRT(K18)</f>
        <v>124.285960590889</v>
      </c>
      <c r="N18" s="16"/>
      <c r="O18" s="16"/>
      <c r="P18" s="16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</row>
    <row r="19" customFormat="false" ht="24" hidden="false" customHeight="true" outlineLevel="0" collapsed="false">
      <c r="A19" s="1" t="n">
        <v>17</v>
      </c>
      <c r="B19" s="1" t="n">
        <v>4</v>
      </c>
      <c r="C19" s="1" t="n">
        <v>50</v>
      </c>
      <c r="D19" s="1" t="n">
        <v>50</v>
      </c>
      <c r="E19" s="1" t="n">
        <f aca="false">VLOOKUP(B19,$A$3:$F$8,5,0)+D19*COS(RADIANS(180-C19+VLOOKUP(B19,$A$3:$F$40,3,0)))</f>
        <v>422.755201857403</v>
      </c>
      <c r="F19" s="1" t="n">
        <f aca="false">VLOOKUP(B19,$A$3:$F$8,6,0)+D19*(SIN(RADIANS(180-C19+VLOOKUP(B19,$A$3:$F$40,3,0))))</f>
        <v>500.345389954857</v>
      </c>
      <c r="G19" s="1" t="s">
        <v>21</v>
      </c>
      <c r="H19" s="12" t="s">
        <v>40</v>
      </c>
      <c r="I19" s="2" t="n">
        <v>18285</v>
      </c>
      <c r="J19" s="14" t="n">
        <f aca="false">ABS(I19)</f>
        <v>18285</v>
      </c>
      <c r="K19" s="14" t="n">
        <f aca="false">MAX(J19,500)</f>
        <v>18285</v>
      </c>
      <c r="L19" s="12"/>
      <c r="M19" s="1" t="n">
        <f aca="false">SQRT(K19)</f>
        <v>135.222039623724</v>
      </c>
      <c r="N19" s="16"/>
      <c r="O19" s="16"/>
      <c r="P19" s="16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</row>
    <row r="20" customFormat="false" ht="24" hidden="false" customHeight="true" outlineLevel="0" collapsed="false">
      <c r="A20" s="1" t="n">
        <v>18</v>
      </c>
      <c r="B20" s="1" t="n">
        <v>4</v>
      </c>
      <c r="C20" s="1" t="n">
        <v>100</v>
      </c>
      <c r="D20" s="1" t="n">
        <v>50</v>
      </c>
      <c r="E20" s="1" t="n">
        <f aca="false">VLOOKUP(B20,$A$3:$F$8,5,0)+D20*COS(RADIANS(180-C20+VLOOKUP(B20,$A$3:$F$40,3,0)))</f>
        <v>388.136340551528</v>
      </c>
      <c r="F20" s="1" t="n">
        <f aca="false">VLOOKUP(B20,$A$3:$F$8,6,0)+D20*(SIN(RADIANS(180-C20+VLOOKUP(B20,$A$3:$F$40,3,0))))</f>
        <v>524.585777605467</v>
      </c>
      <c r="G20" s="1" t="s">
        <v>21</v>
      </c>
      <c r="H20" s="12" t="s">
        <v>41</v>
      </c>
      <c r="I20" s="2" t="n">
        <v>7124</v>
      </c>
      <c r="J20" s="14" t="n">
        <f aca="false">ABS(I20)</f>
        <v>7124</v>
      </c>
      <c r="K20" s="14" t="n">
        <f aca="false">MAX(J20,500)</f>
        <v>7124</v>
      </c>
      <c r="L20" s="12"/>
      <c r="M20" s="1" t="n">
        <f aca="false">SQRT(K20)</f>
        <v>84.4037913840368</v>
      </c>
      <c r="N20" s="16"/>
      <c r="O20" s="16"/>
      <c r="P20" s="16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</row>
    <row r="21" customFormat="false" ht="24" hidden="false" customHeight="true" outlineLevel="0" collapsed="false">
      <c r="A21" s="1" t="n">
        <v>19</v>
      </c>
      <c r="B21" s="1" t="n">
        <v>4</v>
      </c>
      <c r="C21" s="1" t="n">
        <v>125</v>
      </c>
      <c r="D21" s="1" t="n">
        <v>50</v>
      </c>
      <c r="E21" s="1" t="n">
        <f aca="false">VLOOKUP(B21,$A$3:$F$8,5,0)+D21*COS(RADIANS(180-C21+VLOOKUP(B21,$A$3:$F$40,3,0)))</f>
        <v>381.627875836163</v>
      </c>
      <c r="F21" s="1" t="n">
        <f aca="false">VLOOKUP(B21,$A$3:$F$8,6,0)+D21*(SIN(RADIANS(180-C21+VLOOKUP(B21,$A$3:$F$40,3,0))))</f>
        <v>545.227990468084</v>
      </c>
      <c r="G21" s="1" t="s">
        <v>21</v>
      </c>
      <c r="H21" s="12" t="s">
        <v>42</v>
      </c>
      <c r="I21" s="2" t="n">
        <v>6485</v>
      </c>
      <c r="J21" s="14" t="n">
        <f aca="false">ABS(I21)</f>
        <v>6485</v>
      </c>
      <c r="K21" s="14" t="n">
        <f aca="false">MAX(J21,500)</f>
        <v>6485</v>
      </c>
      <c r="L21" s="12"/>
      <c r="M21" s="1" t="n">
        <f aca="false">SQRT(K21)</f>
        <v>80.529497701153</v>
      </c>
      <c r="N21" s="16"/>
      <c r="O21" s="16"/>
      <c r="P21" s="16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</row>
    <row r="22" customFormat="false" ht="24" hidden="false" customHeight="true" outlineLevel="0" collapsed="false">
      <c r="A22" s="1" t="n">
        <v>20</v>
      </c>
      <c r="B22" s="1" t="n">
        <v>4</v>
      </c>
      <c r="C22" s="1" t="n">
        <v>150</v>
      </c>
      <c r="D22" s="1" t="n">
        <v>50</v>
      </c>
      <c r="E22" s="1" t="n">
        <f aca="false">VLOOKUP(B22,$A$3:$F$8,5,0)+D22*COS(RADIANS(180-C22+VLOOKUP(B22,$A$3:$F$40,3,0)))</f>
        <v>384.452979701454</v>
      </c>
      <c r="F22" s="1" t="n">
        <f aca="false">VLOOKUP(B22,$A$3:$F$8,6,0)+D22*(SIN(RADIANS(180-C22+VLOOKUP(B22,$A$3:$F$40,3,0))))</f>
        <v>566.686784771751</v>
      </c>
      <c r="G22" s="1" t="s">
        <v>21</v>
      </c>
      <c r="H22" s="12" t="s">
        <v>43</v>
      </c>
      <c r="I22" s="2" t="n">
        <v>4777</v>
      </c>
      <c r="J22" s="14" t="n">
        <f aca="false">ABS(I22)</f>
        <v>4777</v>
      </c>
      <c r="K22" s="14" t="n">
        <f aca="false">MAX(J22,500)</f>
        <v>4777</v>
      </c>
      <c r="L22" s="12"/>
      <c r="M22" s="1" t="n">
        <f aca="false">SQRT(K22)</f>
        <v>69.1158447825099</v>
      </c>
      <c r="N22" s="16"/>
      <c r="O22" s="16"/>
      <c r="P22" s="16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</row>
    <row r="23" customFormat="false" ht="24" hidden="false" customHeight="true" outlineLevel="0" collapsed="false">
      <c r="A23" s="1" t="n">
        <v>21</v>
      </c>
      <c r="B23" s="1" t="n">
        <v>4</v>
      </c>
      <c r="C23" s="1" t="n">
        <v>175</v>
      </c>
      <c r="D23" s="1" t="n">
        <v>50</v>
      </c>
      <c r="E23" s="1" t="n">
        <f aca="false">VLOOKUP(B23,$A$3:$F$8,5,0)+D23*COS(RADIANS(180-C23+VLOOKUP(B23,$A$3:$F$40,3,0)))</f>
        <v>396.082271681422</v>
      </c>
      <c r="F23" s="1" t="n">
        <f aca="false">VLOOKUP(B23,$A$3:$F$8,6,0)+D23*(SIN(RADIANS(180-C23+VLOOKUP(B23,$A$3:$F$40,3,0))))</f>
        <v>584.941116664794</v>
      </c>
      <c r="G23" s="1" t="s">
        <v>21</v>
      </c>
      <c r="H23" s="12" t="s">
        <v>44</v>
      </c>
      <c r="I23" s="2" t="n">
        <v>3954</v>
      </c>
      <c r="J23" s="14" t="n">
        <f aca="false">ABS(I23)</f>
        <v>3954</v>
      </c>
      <c r="K23" s="14" t="n">
        <f aca="false">MAX(J23,500)</f>
        <v>3954</v>
      </c>
      <c r="L23" s="12"/>
      <c r="M23" s="1" t="n">
        <f aca="false">SQRT(K23)</f>
        <v>62.88083968905</v>
      </c>
      <c r="N23" s="16"/>
      <c r="O23" s="16"/>
      <c r="P23" s="16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</row>
    <row r="24" customFormat="false" ht="24" hidden="false" customHeight="true" outlineLevel="0" collapsed="false">
      <c r="A24" s="1" t="n">
        <v>22</v>
      </c>
      <c r="B24" s="1" t="n">
        <v>4</v>
      </c>
      <c r="C24" s="1" t="n">
        <v>200</v>
      </c>
      <c r="D24" s="1" t="n">
        <v>50</v>
      </c>
      <c r="E24" s="1" t="n">
        <f aca="false">VLOOKUP(B24,$A$3:$F$8,5,0)+D24*COS(RADIANS(180-C24+VLOOKUP(B24,$A$3:$F$40,3,0)))</f>
        <v>414.336603574467</v>
      </c>
      <c r="F24" s="1" t="n">
        <f aca="false">VLOOKUP(B24,$A$3:$F$8,6,0)+D24*(SIN(RADIANS(180-C24+VLOOKUP(B24,$A$3:$F$40,3,0))))</f>
        <v>596.570408644763</v>
      </c>
      <c r="G24" s="1" t="s">
        <v>21</v>
      </c>
      <c r="H24" s="12" t="s">
        <v>45</v>
      </c>
      <c r="I24" s="2" t="n">
        <v>3756</v>
      </c>
      <c r="J24" s="14" t="n">
        <f aca="false">ABS(I24)</f>
        <v>3756</v>
      </c>
      <c r="K24" s="14" t="n">
        <f aca="false">MAX(J24,500)</f>
        <v>3756</v>
      </c>
      <c r="L24" s="12"/>
      <c r="M24" s="1" t="n">
        <f aca="false">SQRT(K24)</f>
        <v>61.2862137841783</v>
      </c>
      <c r="N24" s="16"/>
      <c r="O24" s="16"/>
      <c r="P24" s="16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</row>
    <row r="25" customFormat="false" ht="24" hidden="false" customHeight="true" outlineLevel="0" collapsed="false">
      <c r="A25" s="1" t="n">
        <v>23</v>
      </c>
      <c r="B25" s="1" t="n">
        <v>4</v>
      </c>
      <c r="C25" s="1" t="n">
        <v>225</v>
      </c>
      <c r="D25" s="1" t="n">
        <v>50</v>
      </c>
      <c r="E25" s="1" t="n">
        <f aca="false">VLOOKUP(B25,$A$3:$F$8,5,0)+D25*COS(RADIANS(180-C25+VLOOKUP(B25,$A$3:$F$40,3,0)))</f>
        <v>435.795397878133</v>
      </c>
      <c r="F25" s="1" t="n">
        <f aca="false">VLOOKUP(B25,$A$3:$F$8,6,0)+D25*(SIN(RADIANS(180-C25+VLOOKUP(B25,$A$3:$F$40,3,0))))</f>
        <v>599.395512510054</v>
      </c>
      <c r="G25" s="1" t="s">
        <v>21</v>
      </c>
      <c r="H25" s="12" t="s">
        <v>46</v>
      </c>
      <c r="I25" s="2" t="n">
        <v>2502</v>
      </c>
      <c r="J25" s="14" t="n">
        <f aca="false">ABS(I25)</f>
        <v>2502</v>
      </c>
      <c r="K25" s="14" t="n">
        <f aca="false">MAX(J25,500)</f>
        <v>2502</v>
      </c>
      <c r="L25" s="12"/>
      <c r="M25" s="1" t="n">
        <f aca="false">SQRT(K25)</f>
        <v>50.0199960015992</v>
      </c>
      <c r="N25" s="16"/>
      <c r="O25" s="16"/>
      <c r="P25" s="16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</row>
    <row r="26" customFormat="false" ht="24" hidden="false" customHeight="true" outlineLevel="0" collapsed="false">
      <c r="A26" s="1" t="n">
        <v>24</v>
      </c>
      <c r="B26" s="1" t="n">
        <v>4</v>
      </c>
      <c r="C26" s="1" t="n">
        <v>250</v>
      </c>
      <c r="D26" s="1" t="n">
        <v>50</v>
      </c>
      <c r="E26" s="1" t="n">
        <f aca="false">VLOOKUP(B26,$A$3:$F$8,5,0)+D26*COS(RADIANS(180-C26+VLOOKUP(B26,$A$3:$F$40,3,0)))</f>
        <v>456.43761074075</v>
      </c>
      <c r="F26" s="1" t="n">
        <f aca="false">VLOOKUP(B26,$A$3:$F$8,6,0)+D26*(SIN(RADIANS(180-C26+VLOOKUP(B26,$A$3:$F$40,3,0))))</f>
        <v>592.887047794689</v>
      </c>
      <c r="G26" s="1" t="s">
        <v>21</v>
      </c>
      <c r="H26" s="12" t="s">
        <v>47</v>
      </c>
      <c r="I26" s="2" t="n">
        <v>2407</v>
      </c>
      <c r="J26" s="14" t="n">
        <f aca="false">ABS(I26)</f>
        <v>2407</v>
      </c>
      <c r="K26" s="14" t="n">
        <f aca="false">MAX(J26,500)</f>
        <v>2407</v>
      </c>
      <c r="L26" s="12"/>
      <c r="M26" s="1" t="n">
        <f aca="false">SQRT(K26)</f>
        <v>49.0611862881443</v>
      </c>
      <c r="N26" s="16"/>
      <c r="O26" s="16"/>
      <c r="P26" s="16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</row>
    <row r="27" customFormat="false" ht="24" hidden="false" customHeight="true" outlineLevel="0" collapsed="false">
      <c r="A27" s="1" t="n">
        <v>25</v>
      </c>
      <c r="B27" s="1" t="n">
        <v>4</v>
      </c>
      <c r="C27" s="1" t="n">
        <v>275</v>
      </c>
      <c r="D27" s="1" t="n">
        <v>50</v>
      </c>
      <c r="E27" s="1" t="n">
        <f aca="false">VLOOKUP(B27,$A$3:$F$8,5,0)+D27*COS(RADIANS(180-C27+VLOOKUP(B27,$A$3:$F$40,3,0)))</f>
        <v>472.395212955199</v>
      </c>
      <c r="F27" s="1" t="n">
        <f aca="false">VLOOKUP(B27,$A$3:$F$8,6,0)+D27*(SIN(RADIANS(180-C27+VLOOKUP(B27,$A$3:$F$40,3,0))))</f>
        <v>578.264599423019</v>
      </c>
      <c r="G27" s="1" t="s">
        <v>21</v>
      </c>
      <c r="H27" s="12" t="s">
        <v>48</v>
      </c>
      <c r="I27" s="2" t="n">
        <v>1741</v>
      </c>
      <c r="J27" s="14" t="n">
        <f aca="false">ABS(I27)</f>
        <v>1741</v>
      </c>
      <c r="K27" s="14" t="n">
        <f aca="false">MAX(J27,500)</f>
        <v>1741</v>
      </c>
      <c r="L27" s="12"/>
      <c r="M27" s="1" t="n">
        <f aca="false">SQRT(K27)</f>
        <v>41.7252920900501</v>
      </c>
      <c r="N27" s="16"/>
      <c r="O27" s="16"/>
      <c r="P27" s="16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</row>
    <row r="28" customFormat="false" ht="24" hidden="false" customHeight="true" outlineLevel="0" collapsed="false">
      <c r="A28" s="1" t="n">
        <v>26</v>
      </c>
      <c r="B28" s="1" t="n">
        <v>4</v>
      </c>
      <c r="C28" s="1" t="n">
        <v>300</v>
      </c>
      <c r="D28" s="1" t="n">
        <v>50</v>
      </c>
      <c r="E28" s="1" t="n">
        <f aca="false">VLOOKUP(B28,$A$3:$F$8,5,0)+D28*COS(RADIANS(180-C28+VLOOKUP(B28,$A$3:$F$40,3,0)))</f>
        <v>480.67799839136</v>
      </c>
      <c r="F28" s="1" t="n">
        <f aca="false">VLOOKUP(B28,$A$3:$F$8,6,0)+D28*(SIN(RADIANS(180-C28+VLOOKUP(B28,$A$3:$F$40,3,0))))</f>
        <v>558.268186488814</v>
      </c>
      <c r="G28" s="1" t="s">
        <v>21</v>
      </c>
      <c r="H28" s="12" t="s">
        <v>49</v>
      </c>
      <c r="I28" s="2" t="n">
        <v>1558</v>
      </c>
      <c r="J28" s="14" t="n">
        <f aca="false">ABS(I28)</f>
        <v>1558</v>
      </c>
      <c r="K28" s="14" t="n">
        <f aca="false">MAX(J28,500)</f>
        <v>1558</v>
      </c>
      <c r="L28" s="12"/>
      <c r="M28" s="1" t="n">
        <f aca="false">SQRT(K28)</f>
        <v>39.4715087119811</v>
      </c>
      <c r="N28" s="16"/>
      <c r="O28" s="16"/>
      <c r="P28" s="16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</row>
    <row r="29" customFormat="false" ht="24" hidden="false" customHeight="true" outlineLevel="0" collapsed="false">
      <c r="A29" s="1" t="n">
        <v>27</v>
      </c>
      <c r="B29" s="1" t="n">
        <v>4</v>
      </c>
      <c r="C29" s="1" t="n">
        <v>325</v>
      </c>
      <c r="D29" s="1" t="n">
        <v>50</v>
      </c>
      <c r="E29" s="1" t="n">
        <f aca="false">VLOOKUP(B29,$A$3:$F$8,5,0)+D29*COS(RADIANS(180-C29+VLOOKUP(B29,$A$3:$F$40,3,0)))</f>
        <v>479.733902055203</v>
      </c>
      <c r="F29" s="1" t="n">
        <f aca="false">VLOOKUP(B29,$A$3:$F$8,6,0)+D29*(SIN(RADIANS(180-C29+VLOOKUP(B29,$A$3:$F$40,3,0))))</f>
        <v>536.644825350341</v>
      </c>
      <c r="G29" s="1" t="s">
        <v>21</v>
      </c>
      <c r="H29" s="12" t="s">
        <v>50</v>
      </c>
      <c r="I29" s="2" t="n">
        <v>1248</v>
      </c>
      <c r="J29" s="14" t="n">
        <f aca="false">ABS(I29)</f>
        <v>1248</v>
      </c>
      <c r="K29" s="14" t="n">
        <f aca="false">MAX(J29,500)</f>
        <v>1248</v>
      </c>
      <c r="L29" s="12"/>
      <c r="M29" s="1" t="n">
        <f aca="false">SQRT(K29)</f>
        <v>35.3270434653114</v>
      </c>
      <c r="N29" s="16"/>
      <c r="O29" s="16"/>
      <c r="P29" s="16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</row>
    <row r="30" customFormat="false" ht="24" hidden="false" customHeight="true" outlineLevel="0" collapsed="false">
      <c r="A30" s="1" t="n">
        <v>28</v>
      </c>
      <c r="B30" s="1" t="n">
        <v>4</v>
      </c>
      <c r="C30" s="1" t="n">
        <v>350</v>
      </c>
      <c r="D30" s="1" t="n">
        <v>50</v>
      </c>
      <c r="E30" s="1" t="n">
        <f aca="false">VLOOKUP(B30,$A$3:$F$8,5,0)+D30*COS(RADIANS(180-C30+VLOOKUP(B30,$A$3:$F$40,3,0)))</f>
        <v>469.739832896699</v>
      </c>
      <c r="F30" s="1" t="n">
        <f aca="false">VLOOKUP(B30,$A$3:$F$8,6,0)+D30*(SIN(RADIANS(180-C30+VLOOKUP(B30,$A$3:$F$40,3,0))))</f>
        <v>517.44639712114</v>
      </c>
      <c r="G30" s="1" t="s">
        <v>21</v>
      </c>
      <c r="H30" s="12" t="s">
        <v>51</v>
      </c>
      <c r="I30" s="2" t="n">
        <v>1085</v>
      </c>
      <c r="J30" s="14" t="n">
        <f aca="false">ABS(I30)</f>
        <v>1085</v>
      </c>
      <c r="K30" s="14" t="n">
        <f aca="false">MAX(J30,500)</f>
        <v>1085</v>
      </c>
      <c r="L30" s="12"/>
      <c r="M30" s="1" t="n">
        <f aca="false">SQRT(K30)</f>
        <v>32.9393381840012</v>
      </c>
      <c r="N30" s="16"/>
      <c r="O30" s="16"/>
      <c r="P30" s="16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</row>
    <row r="31" customFormat="false" ht="24" hidden="false" customHeight="true" outlineLevel="0" collapsed="false">
      <c r="A31" s="1" t="n">
        <v>29</v>
      </c>
      <c r="B31" s="1" t="n">
        <v>4</v>
      </c>
      <c r="C31" s="1" t="n">
        <v>380</v>
      </c>
      <c r="D31" s="1" t="n">
        <v>50</v>
      </c>
      <c r="E31" s="1" t="n">
        <f aca="false">VLOOKUP(B31,$A$3:$F$8,5,0)+D31*COS(RADIANS(180-C31+VLOOKUP(B31,$A$3:$F$40,3,0)))</f>
        <v>448.538617907033</v>
      </c>
      <c r="F31" s="1" t="n">
        <f aca="false">VLOOKUP(B31,$A$3:$F$8,6,0)+D31*(SIN(RADIANS(180-C31+VLOOKUP(B31,$A$3:$F$40,3,0))))</f>
        <v>502.601146566172</v>
      </c>
      <c r="G31" s="1" t="s">
        <v>21</v>
      </c>
      <c r="H31" s="12" t="s">
        <v>52</v>
      </c>
      <c r="I31" s="2" t="n">
        <v>469</v>
      </c>
      <c r="J31" s="14" t="n">
        <f aca="false">ABS(I31)</f>
        <v>469</v>
      </c>
      <c r="K31" s="14" t="n">
        <f aca="false">MAX(J31,500)</f>
        <v>500</v>
      </c>
      <c r="L31" s="12"/>
      <c r="M31" s="1" t="n">
        <f aca="false">SQRT(K31)</f>
        <v>22.3606797749979</v>
      </c>
      <c r="N31" s="16"/>
      <c r="O31" s="16"/>
      <c r="P31" s="16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</row>
    <row r="32" customFormat="false" ht="24" hidden="false" customHeight="true" outlineLevel="0" collapsed="false">
      <c r="A32" s="1" t="n">
        <v>30</v>
      </c>
      <c r="B32" s="1" t="n">
        <v>3</v>
      </c>
      <c r="C32" s="1" t="n">
        <v>30</v>
      </c>
      <c r="D32" s="1" t="n">
        <v>50</v>
      </c>
      <c r="E32" s="1" t="n">
        <f aca="false">VLOOKUP(B32,$A$3:$F$8,5,0)+D32*COS(RADIANS(C32+180-VLOOKUP(B32,$A$3:$F$40,3,0)))</f>
        <v>563.488510410092</v>
      </c>
      <c r="F32" s="1" t="n">
        <f aca="false">VLOOKUP(B32,$A$3:$F$8,6,0)+D32*(SIN(RADIANS(180-C32+VLOOKUP(B32,$A$3:$F$40,3,0))))</f>
        <v>514.471385224743</v>
      </c>
      <c r="G32" s="1" t="s">
        <v>53</v>
      </c>
      <c r="H32" s="12" t="s">
        <v>54</v>
      </c>
      <c r="I32" s="2" t="n">
        <v>6751</v>
      </c>
      <c r="J32" s="3" t="n">
        <f aca="false">ABS(I32)</f>
        <v>6751</v>
      </c>
      <c r="K32" s="3" t="n">
        <f aca="false">MAX(J32,500)</f>
        <v>6751</v>
      </c>
      <c r="L32" s="12"/>
      <c r="M32" s="1" t="n">
        <f aca="false">SQRT(K32)</f>
        <v>82.1644692065859</v>
      </c>
    </row>
    <row r="33" s="19" customFormat="true" ht="24" hidden="false" customHeight="true" outlineLevel="0" collapsed="false">
      <c r="A33" s="1" t="n">
        <v>31</v>
      </c>
      <c r="B33" s="1" t="n">
        <v>3</v>
      </c>
      <c r="C33" s="1" t="n">
        <v>60</v>
      </c>
      <c r="D33" s="1" t="n">
        <v>50</v>
      </c>
      <c r="E33" s="1" t="n">
        <f aca="false">VLOOKUP(B33,$A$3:$F$8,5,0)+D33*COS(RADIANS(C33+180-VLOOKUP(B33,$A$3:$F$40,3,0)))</f>
        <v>567.982855962846</v>
      </c>
      <c r="F33" s="1" t="n">
        <f aca="false">VLOOKUP(B33,$A$3:$F$8,6,0)+D33*(SIN(RADIANS(180-C33+VLOOKUP(B33,$A$3:$F$40,3,0))))</f>
        <v>539.960085449161</v>
      </c>
      <c r="G33" s="19" t="s">
        <v>53</v>
      </c>
      <c r="H33" s="12" t="s">
        <v>55</v>
      </c>
      <c r="I33" s="19" t="n">
        <v>2055</v>
      </c>
      <c r="J33" s="19" t="n">
        <f aca="false">ABS(I33)</f>
        <v>2055</v>
      </c>
      <c r="K33" s="19" t="n">
        <f aca="false">MAX(J33,500)</f>
        <v>2055</v>
      </c>
      <c r="L33" s="12"/>
      <c r="M33" s="19" t="n">
        <f aca="false">SQRT(K33)</f>
        <v>45.3321078265726</v>
      </c>
    </row>
    <row r="34" customFormat="false" ht="24" hidden="false" customHeight="true" outlineLevel="0" collapsed="false">
      <c r="A34" s="1" t="n">
        <v>32</v>
      </c>
      <c r="B34" s="1" t="n">
        <v>3</v>
      </c>
      <c r="C34" s="1" t="n">
        <v>90</v>
      </c>
      <c r="D34" s="1" t="n">
        <v>50</v>
      </c>
      <c r="E34" s="1" t="n">
        <f aca="false">VLOOKUP(B34,$A$3:$F$8,5,0)+D34*COS(RADIANS(C34+180-VLOOKUP(B34,$A$3:$F$40,3,0)))</f>
        <v>584.619423497127</v>
      </c>
      <c r="F34" s="1" t="n">
        <f aca="false">VLOOKUP(B34,$A$3:$F$8,6,0)+D34*(SIN(RADIANS(180-C34+VLOOKUP(B34,$A$3:$F$40,3,0))))</f>
        <v>559.786774576575</v>
      </c>
      <c r="G34" s="1" t="s">
        <v>53</v>
      </c>
      <c r="H34" s="12" t="s">
        <v>56</v>
      </c>
      <c r="I34" s="2" t="n">
        <v>1478</v>
      </c>
      <c r="J34" s="3" t="n">
        <f aca="false">ABS(I34)</f>
        <v>1478</v>
      </c>
      <c r="K34" s="3" t="n">
        <f aca="false">MAX(J34,500)</f>
        <v>1478</v>
      </c>
      <c r="L34" s="12"/>
      <c r="M34" s="1" t="n">
        <f aca="false">SQRT(K34)</f>
        <v>38.4447655734822</v>
      </c>
      <c r="N34" s="16"/>
      <c r="O34" s="16"/>
      <c r="P34" s="16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</row>
    <row r="35" customFormat="false" ht="24" hidden="false" customHeight="true" outlineLevel="0" collapsed="false">
      <c r="A35" s="1" t="n">
        <v>33</v>
      </c>
      <c r="B35" s="1" t="n">
        <v>3</v>
      </c>
      <c r="C35" s="1" t="n">
        <v>120</v>
      </c>
      <c r="D35" s="1" t="n">
        <v>50</v>
      </c>
      <c r="E35" s="1" t="n">
        <f aca="false">VLOOKUP(B35,$A$3:$F$8,5,0)+D35*COS(RADIANS(C35+180-VLOOKUP(B35,$A$3:$F$40,3,0)))</f>
        <v>608.940458177296</v>
      </c>
      <c r="F35" s="1" t="n">
        <f aca="false">VLOOKUP(B35,$A$3:$F$8,6,0)+D35*(SIN(RADIANS(180-C35+VLOOKUP(B35,$A$3:$F$40,3,0))))</f>
        <v>568.638907266713</v>
      </c>
      <c r="G35" s="1" t="s">
        <v>53</v>
      </c>
      <c r="H35" s="12" t="s">
        <v>57</v>
      </c>
      <c r="I35" s="2" t="n">
        <v>1127</v>
      </c>
      <c r="J35" s="3" t="n">
        <f aca="false">ABS(I35)</f>
        <v>1127</v>
      </c>
      <c r="K35" s="3" t="n">
        <f aca="false">MAX(J35,500)</f>
        <v>1127</v>
      </c>
      <c r="L35" s="12"/>
      <c r="M35" s="1" t="n">
        <f aca="false">SQRT(K35)</f>
        <v>33.570820663189</v>
      </c>
      <c r="N35" s="16"/>
      <c r="O35" s="16"/>
      <c r="P35" s="16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</row>
    <row r="36" customFormat="false" ht="24" hidden="false" customHeight="true" outlineLevel="0" collapsed="false">
      <c r="A36" s="1" t="n">
        <v>34</v>
      </c>
      <c r="B36" s="1" t="n">
        <v>3</v>
      </c>
      <c r="C36" s="1" t="n">
        <v>150</v>
      </c>
      <c r="D36" s="1" t="n">
        <v>50</v>
      </c>
      <c r="E36" s="1" t="n">
        <f aca="false">VLOOKUP(B36,$A$3:$F$8,5,0)+D36*COS(RADIANS(C36+180-VLOOKUP(B36,$A$3:$F$40,3,0)))</f>
        <v>634.429158401714</v>
      </c>
      <c r="F36" s="1" t="n">
        <f aca="false">VLOOKUP(B36,$A$3:$F$8,6,0)+D36*(SIN(RADIANS(180-C36+VLOOKUP(B36,$A$3:$F$40,3,0))))</f>
        <v>564.144561713958</v>
      </c>
      <c r="G36" s="1" t="s">
        <v>53</v>
      </c>
      <c r="H36" s="12" t="s">
        <v>58</v>
      </c>
      <c r="I36" s="2" t="n">
        <v>1044</v>
      </c>
      <c r="J36" s="3" t="n">
        <f aca="false">ABS(I36)</f>
        <v>1044</v>
      </c>
      <c r="K36" s="3" t="n">
        <f aca="false">MAX(J36,500)</f>
        <v>1044</v>
      </c>
      <c r="L36" s="12"/>
      <c r="M36" s="1" t="n">
        <f aca="false">SQRT(K36)</f>
        <v>32.310988842807</v>
      </c>
      <c r="N36" s="16"/>
      <c r="O36" s="16"/>
      <c r="P36" s="16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</row>
    <row r="37" customFormat="false" ht="24" hidden="false" customHeight="true" outlineLevel="0" collapsed="false">
      <c r="A37" s="1" t="n">
        <v>35</v>
      </c>
      <c r="B37" s="1" t="n">
        <v>3</v>
      </c>
      <c r="C37" s="1" t="n">
        <v>180</v>
      </c>
      <c r="D37" s="1" t="n">
        <v>50</v>
      </c>
      <c r="E37" s="1" t="n">
        <f aca="false">VLOOKUP(B37,$A$3:$F$8,5,0)+D37*COS(RADIANS(C37+180-VLOOKUP(B37,$A$3:$F$40,3,0)))</f>
        <v>654.255847529129</v>
      </c>
      <c r="F37" s="1" t="n">
        <f aca="false">VLOOKUP(B37,$A$3:$F$8,6,0)+D37*(SIN(RADIANS(180-C37+VLOOKUP(B37,$A$3:$F$40,3,0))))</f>
        <v>547.507994179678</v>
      </c>
      <c r="G37" s="1" t="s">
        <v>53</v>
      </c>
      <c r="H37" s="12" t="s">
        <v>59</v>
      </c>
      <c r="I37" s="2" t="n">
        <v>921</v>
      </c>
      <c r="J37" s="3" t="n">
        <f aca="false">ABS(I37)</f>
        <v>921</v>
      </c>
      <c r="K37" s="3" t="n">
        <f aca="false">MAX(J37,500)</f>
        <v>921</v>
      </c>
      <c r="L37" s="12"/>
      <c r="M37" s="1" t="n">
        <f aca="false">SQRT(K37)</f>
        <v>30.347981810987</v>
      </c>
      <c r="N37" s="16"/>
      <c r="O37" s="16"/>
      <c r="P37" s="16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</row>
    <row r="38" customFormat="false" ht="24" hidden="false" customHeight="true" outlineLevel="0" collapsed="false">
      <c r="A38" s="1" t="n">
        <v>36</v>
      </c>
      <c r="B38" s="1" t="n">
        <v>3</v>
      </c>
      <c r="C38" s="1" t="n">
        <v>210</v>
      </c>
      <c r="D38" s="1" t="n">
        <v>50</v>
      </c>
      <c r="E38" s="1" t="n">
        <f aca="false">VLOOKUP(B38,$A$3:$F$8,5,0)+D38*COS(RADIANS(C38+180-VLOOKUP(B38,$A$3:$F$40,3,0)))</f>
        <v>663.107980219266</v>
      </c>
      <c r="F38" s="1" t="n">
        <f aca="false">VLOOKUP(B38,$A$3:$F$8,6,0)+D38*(SIN(RADIANS(180-C38+VLOOKUP(B38,$A$3:$F$40,3,0))))</f>
        <v>523.186959499509</v>
      </c>
      <c r="G38" s="1" t="s">
        <v>53</v>
      </c>
      <c r="H38" s="12" t="s">
        <v>60</v>
      </c>
      <c r="I38" s="2" t="n">
        <v>762</v>
      </c>
      <c r="J38" s="3" t="n">
        <f aca="false">ABS(I38)</f>
        <v>762</v>
      </c>
      <c r="K38" s="3" t="n">
        <f aca="false">MAX(J38,500)</f>
        <v>762</v>
      </c>
      <c r="L38" s="12"/>
      <c r="M38" s="1" t="n">
        <f aca="false">SQRT(K38)</f>
        <v>27.6043474836845</v>
      </c>
      <c r="N38" s="16"/>
      <c r="O38" s="16"/>
      <c r="P38" s="16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</row>
    <row r="39" customFormat="false" ht="24" hidden="false" customHeight="true" outlineLevel="0" collapsed="false">
      <c r="A39" s="1" t="n">
        <v>37</v>
      </c>
      <c r="B39" s="1" t="n">
        <v>3</v>
      </c>
      <c r="C39" s="1" t="n">
        <v>240</v>
      </c>
      <c r="D39" s="1" t="n">
        <v>50</v>
      </c>
      <c r="E39" s="1" t="n">
        <f aca="false">VLOOKUP(B39,$A$3:$F$8,5,0)+D39*COS(RADIANS(C39+180-VLOOKUP(B39,$A$3:$F$40,3,0)))</f>
        <v>658.613634666512</v>
      </c>
      <c r="F39" s="1" t="n">
        <f aca="false">VLOOKUP(B39,$A$3:$F$8,6,0)+D39*(SIN(RADIANS(180-C39+VLOOKUP(B39,$A$3:$F$40,3,0))))</f>
        <v>497.698259275091</v>
      </c>
      <c r="G39" s="1" t="s">
        <v>53</v>
      </c>
      <c r="H39" s="12" t="s">
        <v>61</v>
      </c>
      <c r="I39" s="2" t="n">
        <v>460</v>
      </c>
      <c r="J39" s="3" t="n">
        <f aca="false">ABS(I39)</f>
        <v>460</v>
      </c>
      <c r="K39" s="3" t="n">
        <f aca="false">MAX(J39,500)</f>
        <v>500</v>
      </c>
      <c r="L39" s="12"/>
      <c r="M39" s="1" t="n">
        <f aca="false">SQRT(K39)</f>
        <v>22.3606797749979</v>
      </c>
    </row>
    <row r="40" customFormat="false" ht="24" hidden="false" customHeight="true" outlineLevel="0" collapsed="false">
      <c r="A40" s="1" t="n">
        <v>38</v>
      </c>
      <c r="B40" s="1" t="n">
        <v>3</v>
      </c>
      <c r="C40" s="1" t="n">
        <v>270</v>
      </c>
      <c r="D40" s="1" t="n">
        <v>50</v>
      </c>
      <c r="E40" s="1" t="n">
        <f aca="false">VLOOKUP(B40,$A$3:$F$8,5,0)+D40*COS(RADIANS(C40+180-VLOOKUP(B40,$A$3:$F$40,3,0)))</f>
        <v>641.977067132231</v>
      </c>
      <c r="F40" s="1" t="n">
        <f aca="false">VLOOKUP(B40,$A$3:$F$8,6,0)+D40*(SIN(RADIANS(180-C40+VLOOKUP(B40,$A$3:$F$40,3,0))))</f>
        <v>477.871570147676</v>
      </c>
      <c r="G40" s="1" t="s">
        <v>53</v>
      </c>
      <c r="H40" s="12" t="s">
        <v>62</v>
      </c>
      <c r="I40" s="2" t="n">
        <v>396</v>
      </c>
      <c r="J40" s="3" t="n">
        <f aca="false">ABS(I40)</f>
        <v>396</v>
      </c>
      <c r="K40" s="3" t="n">
        <f aca="false">MAX(J40,500)</f>
        <v>500</v>
      </c>
      <c r="L40" s="12"/>
      <c r="M40" s="1" t="n">
        <f aca="false">SQRT(K40)</f>
        <v>22.3606797749979</v>
      </c>
      <c r="N40" s="16"/>
      <c r="O40" s="16"/>
      <c r="P40" s="16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</row>
    <row r="41" customFormat="false" ht="22.5" hidden="false" customHeight="true" outlineLevel="0" collapsed="false">
      <c r="A41" s="1" t="n">
        <v>39</v>
      </c>
      <c r="B41" s="1" t="n">
        <v>3</v>
      </c>
      <c r="C41" s="1" t="n">
        <v>300</v>
      </c>
      <c r="D41" s="1" t="n">
        <v>50</v>
      </c>
      <c r="E41" s="1" t="n">
        <f aca="false">VLOOKUP(B41,$A$3:$F$8,5,0)+D41*COS(RADIANS(C41+180-VLOOKUP(B41,$A$3:$F$40,3,0)))</f>
        <v>617.656032452062</v>
      </c>
      <c r="F41" s="1" t="n">
        <f aca="false">VLOOKUP(B41,$A$3:$F$8,6,0)+D41*(SIN(RADIANS(180-C41+VLOOKUP(B41,$A$3:$F$40,3,0))))</f>
        <v>469.019437457538</v>
      </c>
      <c r="G41" s="1" t="s">
        <v>53</v>
      </c>
      <c r="H41" s="12" t="s">
        <v>63</v>
      </c>
      <c r="I41" s="2" t="n">
        <v>225</v>
      </c>
      <c r="J41" s="3" t="n">
        <f aca="false">ABS(I41)</f>
        <v>225</v>
      </c>
      <c r="K41" s="3" t="n">
        <f aca="false">MAX(J41,500)</f>
        <v>500</v>
      </c>
      <c r="L41" s="12"/>
      <c r="M41" s="1" t="n">
        <f aca="false">SQRT(K41)</f>
        <v>22.3606797749979</v>
      </c>
    </row>
    <row r="42" customFormat="false" ht="23.4" hidden="false" customHeight="true" outlineLevel="0" collapsed="false">
      <c r="A42" s="1" t="n">
        <v>40</v>
      </c>
      <c r="B42" s="1" t="n">
        <v>3</v>
      </c>
      <c r="C42" s="1" t="n">
        <v>330</v>
      </c>
      <c r="D42" s="1" t="n">
        <v>50</v>
      </c>
      <c r="E42" s="1" t="n">
        <f aca="false">VLOOKUP(B42,$A$3:$F$8,5,0)+D42*COS(RADIANS(C42+180-VLOOKUP(B42,$A$3:$F$40,3,0)))</f>
        <v>592.167332227644</v>
      </c>
      <c r="F42" s="1" t="n">
        <f aca="false">VLOOKUP(B42,$A$3:$F$8,6,0)+D42*(SIN(RADIANS(180-C42+VLOOKUP(B42,$A$3:$F$40,3,0))))</f>
        <v>473.513783010293</v>
      </c>
      <c r="G42" s="1" t="s">
        <v>53</v>
      </c>
      <c r="H42" s="12" t="s">
        <v>64</v>
      </c>
      <c r="I42" s="2" t="n">
        <v>109</v>
      </c>
      <c r="J42" s="3" t="n">
        <f aca="false">ABS(I42)</f>
        <v>109</v>
      </c>
      <c r="K42" s="3" t="n">
        <f aca="false">MAX(J42,500)</f>
        <v>500</v>
      </c>
      <c r="L42" s="12"/>
      <c r="M42" s="1" t="n">
        <f aca="false">SQRT(K42)</f>
        <v>22.3606797749979</v>
      </c>
    </row>
  </sheetData>
  <mergeCells count="1">
    <mergeCell ref="H1:I1"/>
  </mergeCells>
  <printOptions headings="false" gridLines="false" gridLinesSet="true" horizontalCentered="false" verticalCentered="false"/>
  <pageMargins left="0.708333333333333" right="0.708333333333333" top="0.748611111111111" bottom="0.747916666666667" header="0.315277777777778" footer="0.511805555555555"/>
  <pageSetup paperSize="8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>&amp;COfficial - Senstive</oddHeader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5292C11F261E4DB73750244DB419A6" ma:contentTypeVersion="8" ma:contentTypeDescription="Create a new document." ma:contentTypeScope="" ma:versionID="916210e9e97148f960b3374bd3701f1d">
  <xsd:schema xmlns:xsd="http://www.w3.org/2001/XMLSchema" xmlns:xs="http://www.w3.org/2001/XMLSchema" xmlns:p="http://schemas.microsoft.com/office/2006/metadata/properties" xmlns:ns2="5e8c6c65-d697-4510-bd92-b8f9d253576d" targetNamespace="http://schemas.microsoft.com/office/2006/metadata/properties" ma:root="true" ma:fieldsID="5333088c4f2451ddb6d1280eea5f8176" ns2:_="">
    <xsd:import namespace="5e8c6c65-d697-4510-bd92-b8f9d25357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8c6c65-d697-4510-bd92-b8f9d25357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E289BC-8090-404C-A5F5-CFA681A392A7}">
  <ds:schemaRefs>
    <ds:schemaRef ds:uri="http://schemas.microsoft.com/office/infopath/2007/PartnerControls"/>
    <ds:schemaRef ds:uri="c135ec81-e454-40e6-a72a-7c0ef2eed0b8"/>
    <ds:schemaRef ds:uri="http://purl.org/dc/elements/1.1/"/>
    <ds:schemaRef ds:uri="http://schemas.microsoft.com/office/2006/metadata/properties"/>
    <ds:schemaRef ds:uri="15ff3d39-6e7b-4d70-9b7c-8d9fe85d0f29"/>
    <ds:schemaRef ds:uri="http://purl.org/dc/terms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a36a94dc-286a-4912-b01f-0d08e1b6b238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742922D-A9BD-4DAE-9598-752652FE3523}"/>
</file>

<file path=customXml/itemProps3.xml><?xml version="1.0" encoding="utf-8"?>
<ds:datastoreItem xmlns:ds="http://schemas.openxmlformats.org/officeDocument/2006/customXml" ds:itemID="{D2E6C859-C0A4-4074-9F0C-723E5D4C3C8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LibreOffice/6.3.5.2$Linux_X86_64 LibreOffice_project/30$Build-2</Application>
  <Company>DfT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2016-10-27T09:29:07Z</dcterms:created>
  <dc:creator>Michelle Dawson</dc:creator>
  <dc:description/>
  <dc:language>en-GB</dc:language>
  <cp:lastModifiedBy/>
  <dcterms:modified xsi:type="dcterms:W3CDTF">2021-02-19T11:57:04Z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AuthorIds_UIVersion_513">
    <vt:lpwstr>156</vt:lpwstr>
  </property>
  <property fmtid="{D5CDD505-2E9C-101B-9397-08002B2CF9AE}" pid="4" name="AuthorIds_UIVersion_514">
    <vt:lpwstr>156</vt:lpwstr>
  </property>
  <property fmtid="{D5CDD505-2E9C-101B-9397-08002B2CF9AE}" pid="5" name="AuthorIds_UIVersion_516">
    <vt:lpwstr>156</vt:lpwstr>
  </property>
  <property fmtid="{D5CDD505-2E9C-101B-9397-08002B2CF9AE}" pid="6" name="Company">
    <vt:lpwstr>DfT</vt:lpwstr>
  </property>
  <property fmtid="{D5CDD505-2E9C-101B-9397-08002B2CF9AE}" pid="7" name="ContentTypeId">
    <vt:lpwstr>0x010100DA5292C11F261E4DB73750244DB419A6</vt:lpwstr>
  </property>
  <property fmtid="{D5CDD505-2E9C-101B-9397-08002B2CF9AE}" pid="8" name="CustomTag">
    <vt:lpwstr/>
  </property>
  <property fmtid="{D5CDD505-2E9C-101B-9397-08002B2CF9AE}" pid="9" name="DfTSubject">
    <vt:lpwstr/>
  </property>
  <property fmtid="{D5CDD505-2E9C-101B-9397-08002B2CF9AE}" pid="10" name="DocSecurity">
    <vt:i4>0</vt:i4>
  </property>
  <property fmtid="{D5CDD505-2E9C-101B-9397-08002B2CF9AE}" pid="11" name="FinancialYear">
    <vt:lpwstr>1;#2018-19|3229a76d-397d-427e-aa67-f33da778fc31</vt:lpwstr>
  </property>
  <property fmtid="{D5CDD505-2E9C-101B-9397-08002B2CF9AE}" pid="12" name="HyperlinksChanged">
    <vt:bool>0</vt:bool>
  </property>
  <property fmtid="{D5CDD505-2E9C-101B-9397-08002B2CF9AE}" pid="13" name="LinksUpToDate">
    <vt:bool>0</vt:bool>
  </property>
  <property fmtid="{D5CDD505-2E9C-101B-9397-08002B2CF9AE}" pid="14" name="Order">
    <vt:i4>192000</vt:i4>
  </property>
  <property fmtid="{D5CDD505-2E9C-101B-9397-08002B2CF9AE}" pid="15" name="ScaleCrop">
    <vt:bool>0</vt:bool>
  </property>
  <property fmtid="{D5CDD505-2E9C-101B-9397-08002B2CF9AE}" pid="16" name="ShareDoc">
    <vt:bool>0</vt:bool>
  </property>
</Properties>
</file>